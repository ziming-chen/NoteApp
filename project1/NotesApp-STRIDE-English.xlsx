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f1145d457e4d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RIDE and risk" sheetId="1" r:id="R745706ee8270429c"/>
    <x:sheet xmlns:r="http://schemas.openxmlformats.org/officeDocument/2006/relationships" name="Top 3" sheetId="2" r:id="R28dba8001f0644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1"/>
      <x:color rgb="FF222222"/>
      <x:name val="Arial"/>
    </x:font>
    <x:font>
      <x:b/>
      <x:sz val="11"/>
      <x:color rgb="FF222222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E7E7E7"/>
      </x:patternFill>
    </x:fill>
  </x:fills>
  <x:borders count="2">
    <x:border>
      <x:left/>
      <x:right/>
      <x:top/>
      <x:bottom/>
      <x:diagonal/>
    </x:border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  <x:diagonal/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vertical="top"/>
    </x:xf>
    <x:xf numFmtId="200" fontId="1" fillId="2" borderId="0" xfId="0" applyNumberFormat="1" applyFont="1" applyFill="1" applyBorder="1" applyAlignment="1">
      <x:alignment horizontal="right" vertical="top"/>
    </x:xf>
    <x:xf numFmtId="0" fontId="1" fillId="2" borderId="0" xfId="0" applyNumberFormat="1" applyFont="1" applyFill="1" applyBorder="1" applyAlignment="1">
      <x:alignment horizontal="center" vertical="top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200" fontId="1" fillId="2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200" fontId="1" fillId="2" borderId="1" xfId="0" applyNumberFormat="1" applyFont="1" applyFill="1" applyBorder="1" applyAlignment="1">
      <x:alignment horizontal="right"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1" fillId="2" borderId="0" xfId="0" applyNumberFormat="1" applyFont="1" applyFill="1" applyBorder="1" applyAlignment="1">
      <x:alignment horizontal="right" vertical="top"/>
    </x:xf>
    <x:xf numFmtId="0" fontId="1" fillId="2" borderId="0" xfId="0" applyNumberFormat="1" applyFont="1" applyFill="1" applyBorder="1" applyAlignment="1">
      <x:alignment horizontal="right" vertical="top" wrapText="1"/>
    </x:xf>
    <x:xf numFmtId="0" fontId="1" fillId="2" borderId="1" xfId="0" applyNumberFormat="1" applyFont="1" applyFill="1" applyBorder="1" applyAlignment="1">
      <x:alignment horizontal="right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391b276ef4443" /><Relationship Type="http://schemas.openxmlformats.org/officeDocument/2006/relationships/theme" Target="/xl/theme/theme1.xml" Id="Re623992ae2024868" /><Relationship Type="http://schemas.openxmlformats.org/officeDocument/2006/relationships/sharedStrings" Target="/xl/sharedStrings.xml" Id="Rdaf04bab24204b32" /><Relationship Type="http://schemas.openxmlformats.org/officeDocument/2006/relationships/worksheet" Target="/xl/worksheets/sheet1.xml" Id="R745706ee8270429c" /><Relationship Type="http://schemas.openxmlformats.org/officeDocument/2006/relationships/worksheet" Target="/xl/worksheets/sheet2.xml" Id="R28dba8001f0644f3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7" topLeftCell="D8" activePane="bottomRight" state="frozen"/>
    </x:sheetView>
  </x:sheetViews>
  <x:sheetFormatPr defaultRowHeight="15"/>
  <x:cols>
    <x:col min="1" max="1" width="1.75" hidden="0" customWidth="1"/>
    <x:col min="2" max="2" width="6.880000114440918" hidden="0" customWidth="1"/>
    <x:col min="3" max="3" width="25" hidden="0" customWidth="1"/>
    <x:col min="4" max="4" width="8.130000114440918" hidden="0" customWidth="1"/>
    <x:col min="5" max="5" width="36.880001068115234" hidden="0" customWidth="1"/>
    <x:col min="6" max="6" width="6.880000114440918" hidden="0" customWidth="1"/>
    <x:col min="7" max="7" width="6.880000114440918" hidden="0" customWidth="1"/>
    <x:col min="8" max="8" width="7.5" hidden="0" customWidth="1"/>
    <x:col min="9" max="9" width="41.25" hidden="0" customWidth="1"/>
  </x:cols>
  <x:sheetData>
    <x:row r="1" ht="20" customHeight="1">
      <x:c r="A1" s="3"/>
      <x:c r="B1" s="3"/>
      <x:c r="C1" s="3"/>
      <x:c r="D1" s="3"/>
      <x:c r="E1" s="3"/>
      <x:c r="F1" s="3"/>
      <x:c r="G1" s="3"/>
      <x:c r="H1" s="3"/>
      <x:c r="I1" s="3"/>
    </x:row>
    <x:row r="2" ht="24" customHeight="1">
      <x:c r="A2" s="3"/>
      <x:c r="B2" s="4" t="str">
        <x:v>Project 1: STRIDE and risk</x:v>
      </x:c>
      <x:c r="C2" s="4"/>
      <x:c r="D2" s="4"/>
      <x:c r="E2" s="4"/>
      <x:c r="F2" s="4"/>
      <x:c r="G2" s="4"/>
      <x:c r="H2" s="4"/>
      <x:c r="I2" s="4"/>
    </x:row>
    <x:row r="3" ht="20" customHeight="1">
      <x:c r="A3" s="3"/>
      <x:c r="B3" s="3" t="str">
        <x:v>L = likelihood, I = impact: 1 low, 2 medium, 3 high. Risk = L × I. HTTP risks need remote traffic access.</x:v>
      </x:c>
      <x:c r="C3" s="3"/>
      <x:c r="D3" s="3"/>
      <x:c r="E3" s="3"/>
      <x:c r="F3" s="3"/>
      <x:c r="G3" s="3"/>
      <x:c r="H3" s="3"/>
      <x:c r="I3" s="3"/>
    </x:row>
    <x:row r="4" ht="20" customHeight="1">
      <x:c r="A4" s="3"/>
      <x:c r="B4" s="3" t="str">
        <x:v>S Spoofing; T Tampering; R Repudiation; I Information disclosure; D Denial of service; E Elevation of privilege.</x:v>
      </x:c>
      <x:c r="C4" s="3"/>
      <x:c r="D4" s="3"/>
      <x:c r="E4" s="3"/>
      <x:c r="F4" s="3"/>
      <x:c r="G4" s="3"/>
      <x:c r="H4" s="3"/>
      <x:c r="I4" s="3"/>
    </x:row>
    <x:row r="5" ht="20" customHeight="1">
      <x:c r="A5" s="3"/>
      <x:c r="B5" s="3" t="str">
        <x:v>One main threat per flow. Other threats are not expanded in this first version. These are possible risks, not attack results.</x:v>
      </x:c>
      <x:c r="C5" s="3"/>
      <x:c r="D5" s="3"/>
      <x:c r="E5" s="3"/>
      <x:c r="F5" s="3"/>
      <x:c r="G5" s="3"/>
      <x:c r="H5" s="3"/>
      <x:c r="I5" s="3"/>
    </x:row>
    <x:row r="6" ht="6" customHeight="1">
      <x:c r="A6" s="3"/>
      <x:c r="B6" s="3"/>
      <x:c r="C6" s="3"/>
      <x:c r="D6" s="3"/>
      <x:c r="E6" s="3"/>
      <x:c r="F6" s="3"/>
      <x:c r="G6" s="3"/>
      <x:c r="H6" s="3"/>
      <x:c r="I6" s="3"/>
    </x:row>
    <x:row r="7" ht="28.5" customHeight="1">
      <x:c r="A7" s="3"/>
      <x:c r="B7" s="17" t="str">
        <x:v>Flow ID</x:v>
      </x:c>
      <x:c r="C7" s="17" t="str">
        <x:v>Flow</x:v>
      </x:c>
      <x:c r="D7" s="17" t="str">
        <x:v>STRIDE</x:v>
      </x:c>
      <x:c r="E7" s="17" t="str">
        <x:v>Main threat</x:v>
      </x:c>
      <x:c r="F7" s="17" t="str">
        <x:v>L</x:v>
      </x:c>
      <x:c r="G7" s="17" t="str">
        <x:v>I</x:v>
      </x:c>
      <x:c r="H7" s="17" t="str">
        <x:v>Risk</x:v>
      </x:c>
      <x:c r="I7" s="17" t="str">
        <x:v>Reason</x:v>
      </x:c>
    </x:row>
    <x:row r="8" ht="52.5" customHeight="1">
      <x:c r="A8" s="3"/>
      <x:c r="B8" s="12" t="str">
        <x:v>1</x:v>
      </x:c>
      <x:c r="C8" s="11" t="str">
        <x:v>Student login</x:v>
      </x:c>
      <x:c r="D8" s="12" t="str">
        <x:v>T</x:v>
      </x:c>
      <x:c r="E8" s="11" t="str">
        <x:v>Login input could change SQL and bypass authentication.</x:v>
      </x:c>
      <x:c r="F8" s="13" t="n">
        <x:v>3</x:v>
      </x:c>
      <x:c r="G8" s="13" t="n">
        <x:v>3</x:v>
      </x:c>
      <x:c r="H8" s="13" t="n">
        <x:f>F8*G8</x:f>
        <x:v>9</x:v>
      </x:c>
      <x:c r="I8" s="11" t="str">
        <x:v>Anyone can reach the login page, and a bypass could give access to another account.</x:v>
      </x:c>
    </x:row>
    <x:row r="9" ht="52.5" customHeight="1">
      <x:c r="A9" s="3"/>
      <x:c r="B9" s="12" t="str">
        <x:v>2</x:v>
      </x:c>
      <x:c r="C9" s="11" t="str">
        <x:v>Student grades or logout</x:v>
      </x:c>
      <x:c r="D9" s="12" t="str">
        <x:v>S</x:v>
      </x:c>
      <x:c r="E9" s="11" t="str">
        <x:v>Unsigned tokens could let anyone pretend to be another student.</x:v>
      </x:c>
      <x:c r="F9" s="13" t="n">
        <x:v>3</x:v>
      </x:c>
      <x:c r="G9" s="13" t="n">
        <x:v>3</x:v>
      </x:c>
      <x:c r="H9" s="13" t="n">
        <x:f>F9*G9</x:f>
        <x:v>9</x:v>
      </x:c>
      <x:c r="I9" s="11" t="str">
        <x:v>No signature is checked, so an attacker could read other students' grades.</x:v>
      </x:c>
    </x:row>
    <x:row r="10" ht="52.5" customHeight="1">
      <x:c r="A10" s="3"/>
      <x:c r="B10" s="12" t="str">
        <x:v>3</x:v>
      </x:c>
      <x:c r="C10" s="11" t="str">
        <x:v>Student response</x:v>
      </x:c>
      <x:c r="D10" s="12" t="str">
        <x:v>T</x:v>
      </x:c>
      <x:c r="E10" s="11" t="str">
        <x:v>Stored comments could run scripts on the student's page.</x:v>
      </x:c>
      <x:c r="F10" s="13" t="n">
        <x:v>2</x:v>
      </x:c>
      <x:c r="G10" s="13" t="n">
        <x:v>3</x:v>
      </x:c>
      <x:c r="H10" s="13" t="n">
        <x:f>F10*G10</x:f>
        <x:v>6</x:v>
      </x:c>
      <x:c r="I10" s="11" t="str">
        <x:v>A teacher must store content; viewing it could expose identity tokens.</x:v>
      </x:c>
    </x:row>
    <x:row r="11" ht="52.5" customHeight="1">
      <x:c r="A11" s="3"/>
      <x:c r="B11" s="12" t="str">
        <x:v>4</x:v>
      </x:c>
      <x:c r="C11" s="11" t="str">
        <x:v>Teacher login</x:v>
      </x:c>
      <x:c r="D11" s="12" t="str">
        <x:v>R</x:v>
      </x:c>
      <x:c r="E11" s="11" t="str">
        <x:v>Login logs could fail to identify the request source.</x:v>
      </x:c>
      <x:c r="F11" s="13" t="n">
        <x:v>3</x:v>
      </x:c>
      <x:c r="G11" s="13" t="n">
        <x:v>1</x:v>
      </x:c>
      <x:c r="H11" s="13" t="n">
        <x:f>F11*G11</x:f>
        <x:v>3</x:v>
      </x:c>
      <x:c r="I11" s="11" t="str">
        <x:v>Every login omits source details, making later investigation harder.</x:v>
      </x:c>
    </x:row>
    <x:row r="12" ht="52.5" customHeight="1">
      <x:c r="A12" s="3"/>
      <x:c r="B12" s="12" t="str">
        <x:v>5</x:v>
      </x:c>
      <x:c r="C12" s="11" t="str">
        <x:v>Teacher view, export or logout</x:v>
      </x:c>
      <x:c r="D12" s="12" t="str">
        <x:v>I</x:v>
      </x:c>
      <x:c r="E12" s="11" t="str">
        <x:v>Teachers could export grades from other teachers' classes.</x:v>
      </x:c>
      <x:c r="F12" s="13" t="n">
        <x:v>3</x:v>
      </x:c>
      <x:c r="G12" s="13" t="n">
        <x:v>3</x:v>
      </x:c>
      <x:c r="H12" s="13" t="n">
        <x:f>F12*G12</x:f>
        <x:v>9</x:v>
      </x:c>
      <x:c r="I12" s="11" t="str">
        <x:v>Ordinary teacher access lacks ownership checks, exposing whole-class records.</x:v>
      </x:c>
    </x:row>
    <x:row r="13" ht="52.5" customHeight="1">
      <x:c r="A13" s="3"/>
      <x:c r="B13" s="12" t="str">
        <x:v>6</x:v>
      </x:c>
      <x:c r="C13" s="11" t="str">
        <x:v>Teacher saves grades</x:v>
      </x:c>
      <x:c r="D13" s="12" t="str">
        <x:v>E</x:v>
      </x:c>
      <x:c r="E13" s="11" t="str">
        <x:v>Teachers could change grades outside their assigned classes.</x:v>
      </x:c>
      <x:c r="F13" s="13" t="n">
        <x:v>3</x:v>
      </x:c>
      <x:c r="G13" s="13" t="n">
        <x:v>3</x:v>
      </x:c>
      <x:c r="H13" s="13" t="n">
        <x:f>F13*G13</x:f>
        <x:v>9</x:v>
      </x:c>
      <x:c r="I13" s="11" t="str">
        <x:v>A normal teacher request can target any grade, risking unauthorized changes.</x:v>
      </x:c>
    </x:row>
    <x:row r="14" ht="52.5" customHeight="1">
      <x:c r="A14" s="3"/>
      <x:c r="B14" s="12" t="str">
        <x:v>7</x:v>
      </x:c>
      <x:c r="C14" s="11" t="str">
        <x:v>Teacher response or CSV</x:v>
      </x:c>
      <x:c r="D14" s="12" t="str">
        <x:v>D</x:v>
      </x:c>
      <x:c r="E14" s="11" t="str">
        <x:v>Large CSV exports could use too much memory.</x:v>
      </x:c>
      <x:c r="F14" s="13" t="n">
        <x:v>2</x:v>
      </x:c>
      <x:c r="G14" s="13" t="n">
        <x:v>2</x:v>
      </x:c>
      <x:c r="H14" s="13" t="n">
        <x:f>F14*G14</x:f>
        <x:v>4</x:v>
      </x:c>
      <x:c r="I14" s="11" t="str">
        <x:v>Large datasets or repeated exports could make the app unavailable.</x:v>
      </x:c>
    </x:row>
    <x:row r="15" ht="52.5" customHeight="1">
      <x:c r="A15" s="3"/>
      <x:c r="B15" s="12" t="str">
        <x:v>8</x:v>
      </x:c>
      <x:c r="C15" s="11" t="str">
        <x:v>Admin login</x:v>
      </x:c>
      <x:c r="D15" s="12" t="str">
        <x:v>I</x:v>
      </x:c>
      <x:c r="E15" s="11" t="str">
        <x:v>Login passwords could be intercepted over remote HTTP.</x:v>
      </x:c>
      <x:c r="F15" s="13" t="n">
        <x:v>2</x:v>
      </x:c>
      <x:c r="G15" s="13" t="n">
        <x:v>3</x:v>
      </x:c>
      <x:c r="H15" s="13" t="n">
        <x:f>F15*G15</x:f>
        <x:v>6</x:v>
      </x:c>
      <x:c r="I15" s="11" t="str">
        <x:v>An attacker needs remote traffic access; stolen passwords could compromise accounts.</x:v>
      </x:c>
    </x:row>
    <x:row r="16" ht="52.5" customHeight="1">
      <x:c r="A16" s="3"/>
      <x:c r="B16" s="12" t="str">
        <x:v>9</x:v>
      </x:c>
      <x:c r="C16" s="11" t="str">
        <x:v>Admin actions or logout</x:v>
      </x:c>
      <x:c r="D16" s="12" t="str">
        <x:v>T</x:v>
      </x:c>
      <x:c r="E16" s="11" t="str">
        <x:v>Host input could run commands beyond the intended ping.</x:v>
      </x:c>
      <x:c r="F16" s="13" t="n">
        <x:v>2</x:v>
      </x:c>
      <x:c r="G16" s="13" t="n">
        <x:v>3</x:v>
      </x:c>
      <x:c r="H16" s="13" t="n">
        <x:f>F16*G16</x:f>
        <x:v>6</x:v>
      </x:c>
      <x:c r="I16" s="11" t="str">
        <x:v>Admin access is required; shell commands could compromise the application.</x:v>
      </x:c>
    </x:row>
    <x:row r="17" ht="52.5" customHeight="1">
      <x:c r="A17" s="3"/>
      <x:c r="B17" s="12" t="str">
        <x:v>10</x:v>
      </x:c>
      <x:c r="C17" s="11" t="str">
        <x:v>Admin response</x:v>
      </x:c>
      <x:c r="D17" s="12" t="str">
        <x:v>I</x:v>
      </x:c>
      <x:c r="E17" s="11" t="str">
        <x:v>User lists and ping results could be intercepted over HTTP.</x:v>
      </x:c>
      <x:c r="F17" s="13" t="n">
        <x:v>2</x:v>
      </x:c>
      <x:c r="G17" s="13" t="n">
        <x:v>2</x:v>
      </x:c>
      <x:c r="H17" s="13" t="n">
        <x:f>F17*G17</x:f>
        <x:v>4</x:v>
      </x:c>
      <x:c r="I17" s="11" t="str">
        <x:v>Remote traffic access is needed; private management information could leak.</x:v>
      </x:c>
    </x:row>
    <x:row r="18" ht="52.5" customHeight="1">
      <x:c r="A18" s="3"/>
      <x:c r="B18" s="12" t="str">
        <x:v>11</x:v>
      </x:c>
      <x:c r="C18" s="11" t="str">
        <x:v>Database login query</x:v>
      </x:c>
      <x:c r="D18" s="12" t="str">
        <x:v>I</x:v>
      </x:c>
      <x:c r="E18" s="11" t="str">
        <x:v>Plaintext passwords could leak from database queries or storage.</x:v>
      </x:c>
      <x:c r="F18" s="13" t="n">
        <x:v>1</x:v>
      </x:c>
      <x:c r="G18" s="13" t="n">
        <x:v>3</x:v>
      </x:c>
      <x:c r="H18" s="13" t="n">
        <x:f>F18*G18</x:f>
        <x:v>3</x:v>
      </x:c>
      <x:c r="I18" s="11" t="str">
        <x:v>Prior database access is needed; exposed passwords could compromise accounts.</x:v>
      </x:c>
    </x:row>
    <x:row r="19" ht="52.5" customHeight="1">
      <x:c r="A19" s="3"/>
      <x:c r="B19" s="12" t="str">
        <x:v>12</x:v>
      </x:c>
      <x:c r="C19" s="11" t="str">
        <x:v>Database login result</x:v>
      </x:c>
      <x:c r="D19" s="12" t="str">
        <x:v>I</x:v>
      </x:c>
      <x:c r="E19" s="11" t="str">
        <x:v>Login errors could reveal internal database details.</x:v>
      </x:c>
      <x:c r="F19" s="13" t="n">
        <x:v>3</x:v>
      </x:c>
      <x:c r="G19" s="13" t="n">
        <x:v>1</x:v>
      </x:c>
      <x:c r="H19" s="13" t="n">
        <x:f>F19*G19</x:f>
        <x:v>3</x:v>
      </x:c>
      <x:c r="I19" s="11" t="str">
        <x:v>Malformed public login input can produce errors containing implementation details.</x:v>
      </x:c>
    </x:row>
    <x:row r="20" ht="52.5" customHeight="1">
      <x:c r="A20" s="3"/>
      <x:c r="B20" s="12" t="str">
        <x:v>13</x:v>
      </x:c>
      <x:c r="C20" s="11" t="str">
        <x:v>Database reads</x:v>
      </x:c>
      <x:c r="D20" s="12" t="str">
        <x:v>D</x:v>
      </x:c>
      <x:c r="E20" s="11" t="str">
        <x:v>Reading every record could overload the application.</x:v>
      </x:c>
      <x:c r="F20" s="13" t="n">
        <x:v>2</x:v>
      </x:c>
      <x:c r="G20" s="13" t="n">
        <x:v>2</x:v>
      </x:c>
      <x:c r="H20" s="13" t="n">
        <x:f>F20*G20</x:f>
        <x:v>4</x:v>
      </x:c>
      <x:c r="I20" s="11" t="str">
        <x:v>Large data volumes or repeated reads could reduce service availability.</x:v>
      </x:c>
    </x:row>
    <x:row r="21" ht="52.5" customHeight="1">
      <x:c r="A21" s="3"/>
      <x:c r="B21" s="12" t="str">
        <x:v>14</x:v>
      </x:c>
      <x:c r="C21" s="11" t="str">
        <x:v>Database read results</x:v>
      </x:c>
      <x:c r="D21" s="12" t="str">
        <x:v>I</x:v>
      </x:c>
      <x:c r="E21" s="11" t="str">
        <x:v>Query results could reveal another student's name and grades.</x:v>
      </x:c>
      <x:c r="F21" s="13" t="n">
        <x:v>3</x:v>
      </x:c>
      <x:c r="G21" s="13" t="n">
        <x:v>3</x:v>
      </x:c>
      <x:c r="H21" s="13" t="n">
        <x:f>F21*G21</x:f>
        <x:v>9</x:v>
      </x:c>
      <x:c r="I21" s="11" t="str">
        <x:v>Missing ownership checks allow repeated reads across many student records.</x:v>
      </x:c>
    </x:row>
    <x:row r="22" ht="52.5" customHeight="1">
      <x:c r="A22" s="3"/>
      <x:c r="B22" s="12" t="str">
        <x:v>15</x:v>
      </x:c>
      <x:c r="C22" s="11" t="str">
        <x:v>Database writes</x:v>
      </x:c>
      <x:c r="D22" s="12" t="str">
        <x:v>R</x:v>
      </x:c>
      <x:c r="E22" s="11" t="str">
        <x:v>User creation and deletion could leave no audit record.</x:v>
      </x:c>
      <x:c r="F22" s="13" t="n">
        <x:v>2</x:v>
      </x:c>
      <x:c r="G22" s="13" t="n">
        <x:v>2</x:v>
      </x:c>
      <x:c r="H22" s="13" t="n">
        <x:f>F22*G22</x:f>
        <x:v>4</x:v>
      </x:c>
      <x:c r="I22" s="11" t="str">
        <x:v>An admin must change users; missing history makes account disputes harder.</x:v>
      </x:c>
    </x:row>
    <x:row r="23" ht="52.5" customHeight="1">
      <x:c r="A23" s="3"/>
      <x:c r="B23" s="12" t="str">
        <x:v>16</x:v>
      </x:c>
      <x:c r="C23" s="11" t="str">
        <x:v>Database write result</x:v>
      </x:c>
      <x:c r="D23" s="12" t="str">
        <x:v>R</x:v>
      </x:c>
      <x:c r="E23" s="11" t="str">
        <x:v>Committed grade changes could be missing from the log.</x:v>
      </x:c>
      <x:c r="F23" s="13" t="n">
        <x:v>1</x:v>
      </x:c>
      <x:c r="G23" s="13" t="n">
        <x:v>2</x:v>
      </x:c>
      <x:c r="H23" s="13" t="n">
        <x:f>F23*G23</x:f>
        <x:v>2</x:v>
      </x:c>
      <x:c r="I23" s="11" t="str">
        <x:v>Logging must fail after commit, leaving important changes without evidence.</x:v>
      </x:c>
    </x:row>
  </x:sheetData>
  <x:dataValidations count="1">
    <x:dataValidation type="whole" operator="between" sqref="F8:G23">
      <x:formula1>1</x:formula1>
      <x:formula2>3</x:formula2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.75" hidden="0" customWidth="1"/>
    <x:col min="2" max="2" width="37.5" hidden="0" customWidth="1"/>
    <x:col min="3" max="3" width="8.130000114440918" hidden="0" customWidth="1"/>
    <x:col min="4" max="4" width="8.130000114440918" hidden="0" customWidth="1"/>
    <x:col min="5" max="5" width="77.5" hidden="0" customWidth="1"/>
  </x:cols>
  <x:sheetData>
    <x:row r="1" ht="20" customHeight="1">
      <x:c r="A1" s="3"/>
      <x:c r="B1" s="3"/>
      <x:c r="C1" s="3"/>
      <x:c r="D1" s="3"/>
      <x:c r="E1" s="3"/>
    </x:row>
    <x:row r="2" ht="24" customHeight="1">
      <x:c r="A2" s="3"/>
      <x:c r="B2" s="4" t="str">
        <x:v>Top 3</x:v>
      </x:c>
      <x:c r="C2" s="4"/>
      <x:c r="D2" s="4"/>
      <x:c r="E2" s="4"/>
    </x:row>
    <x:row r="3" ht="20" customHeight="1">
      <x:c r="A3" s="3"/>
      <x:c r="B3" s="3" t="str">
        <x:v>Flows 1, 2, 5, 6 and 14 tie at 9; flows 5, 6 and 14 share the same ownership problem.</x:v>
      </x:c>
      <x:c r="C3" s="3"/>
      <x:c r="D3" s="3"/>
      <x:c r="E3" s="3"/>
    </x:row>
    <x:row r="4" ht="6" customHeight="1">
      <x:c r="A4" s="3"/>
      <x:c r="B4" s="3"/>
      <x:c r="C4" s="3"/>
      <x:c r="D4" s="3"/>
      <x:c r="E4" s="3"/>
    </x:row>
    <x:row r="5" ht="28.5" customHeight="1">
      <x:c r="A5" s="3"/>
      <x:c r="B5" s="17" t="str">
        <x:v>Risk</x:v>
      </x:c>
      <x:c r="C5" s="17" t="str">
        <x:v>Flow</x:v>
      </x:c>
      <x:c r="D5" s="17" t="str">
        <x:v>Score</x:v>
      </x:c>
      <x:c r="E5" s="17" t="str">
        <x:v>Fix</x:v>
      </x:c>
    </x:row>
    <x:row r="6" ht="57" customHeight="1">
      <x:c r="A6" s="3"/>
      <x:c r="B6" s="11" t="str">
        <x:v>Login SQL injection</x:v>
      </x:c>
      <x:c r="C6" s="20" t="str">
        <x:f>'STRIDE and risk'!B8</x:f>
        <x:v>1</x:v>
      </x:c>
      <x:c r="D6" s="13" t="n">
        <x:f>'STRIDE and risk'!H8</x:f>
        <x:v>9</x:v>
      </x:c>
      <x:c r="E6" s="11" t="str">
        <x:v>Use parameterized queries instead of putting login text into SQL.</x:v>
      </x:c>
    </x:row>
    <x:row r="7" ht="57" customHeight="1">
      <x:c r="A7" s="3"/>
      <x:c r="B7" s="11" t="str">
        <x:v>Missing grade ownership checks</x:v>
      </x:c>
      <x:c r="C7" s="20" t="str">
        <x:f>'STRIDE and risk'!B13</x:f>
        <x:v>6</x:v>
      </x:c>
      <x:c r="D7" s="13" t="n">
        <x:f>'STRIDE and risk'!H13</x:f>
        <x:v>9</x:v>
      </x:c>
      <x:c r="E7" s="11" t="str">
        <x:v>Let students read only their own grades and teachers use only their own classes.</x:v>
      </x:c>
    </x:row>
    <x:row r="8" ht="57" customHeight="1">
      <x:c r="A8" s="3"/>
      <x:c r="B8" s="11" t="str">
        <x:v>Unsafe JWT verification</x:v>
      </x:c>
      <x:c r="C8" s="20" t="str">
        <x:f>'STRIDE and risk'!B9</x:f>
        <x:v>2</x:v>
      </x:c>
      <x:c r="D8" s="13" t="n">
        <x:f>'STRIDE and risk'!H9</x:f>
        <x:v>9</x:v>
      </x:c>
      <x:c r="E8" s="11" t="str">
        <x:v>Only accept correctly signed tokens with a strong secret and an expiry time.</x:v>
      </x:c>
    </x:row>
  </x:sheetData>
  <x:pageMargins left="0.7" right="0.7" top="0.75" bottom="0.75" header="0.3" footer="0.3"/>
</x:worksheet>
</file>